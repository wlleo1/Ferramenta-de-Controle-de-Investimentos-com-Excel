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\Downloads\"/>
    </mc:Choice>
  </mc:AlternateContent>
  <xr:revisionPtr revIDLastSave="0" documentId="13_ncr:1_{8A83DB52-7B9C-4E76-9673-8F7D0F69D5B4}" xr6:coauthVersionLast="47" xr6:coauthVersionMax="47" xr10:uidLastSave="{00000000-0000-0000-0000-000000000000}"/>
  <bookViews>
    <workbookView xWindow="-108" yWindow="-108" windowWidth="23256" windowHeight="12456" tabRatio="55" xr2:uid="{C3FA7DAB-43FF-4BB0-804A-F7A09CB90377}"/>
  </bookViews>
  <sheets>
    <sheet name="APP" sheetId="1" r:id="rId1"/>
    <sheet name="Planilha2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APP!$D$13</definedName>
    <definedName name="salario">APP!$D$12</definedName>
    <definedName name="sugestao_investimento">APP!$B$14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 l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37" i="1" s="1"/>
  <c r="D22" i="1"/>
  <c r="D23" i="1" s="1"/>
  <c r="D14" i="1"/>
  <c r="C27" i="1"/>
  <c r="D27" i="1" s="1"/>
  <c r="C28" i="1"/>
  <c r="D28" i="1" s="1"/>
  <c r="C29" i="1"/>
  <c r="D29" i="1" s="1"/>
  <c r="C30" i="1"/>
  <c r="D30" i="1" s="1"/>
  <c r="C26" i="1"/>
  <c r="D26" i="1" s="1"/>
  <c r="D40" i="1" l="1"/>
  <c r="D39" i="1"/>
  <c r="D38" i="1"/>
  <c r="D41" i="1"/>
  <c r="D36" i="1"/>
  <c r="D42" i="1" l="1"/>
</calcChain>
</file>

<file path=xl/sharedStrings.xml><?xml version="1.0" encoding="utf-8"?>
<sst xmlns="http://schemas.openxmlformats.org/spreadsheetml/2006/main" count="73" uniqueCount="35">
  <si>
    <t xml:space="preserve">Quanto investir por mês ?  </t>
  </si>
  <si>
    <t xml:space="preserve">Por Quantos Anos ?  </t>
  </si>
  <si>
    <t xml:space="preserve">Taxa de Rendimento mensal ?  </t>
  </si>
  <si>
    <t xml:space="preserve">Patrimônio acumulado ?  </t>
  </si>
  <si>
    <t>Dividendos Mensais ?</t>
  </si>
  <si>
    <t>INVESTIMENTO MENSAL</t>
  </si>
  <si>
    <t>Quanto em 2 Anos?</t>
  </si>
  <si>
    <t>Quanto em 10 Anos?</t>
  </si>
  <si>
    <t>Quanto em 20  Anos?</t>
  </si>
  <si>
    <t>Quanto em 30  Anos?</t>
  </si>
  <si>
    <t>Quanto em 5 Anos?</t>
  </si>
  <si>
    <t>Cenários</t>
  </si>
  <si>
    <t>Dividendos</t>
  </si>
  <si>
    <t>Rendimento Carteira</t>
  </si>
  <si>
    <t>Salário</t>
  </si>
  <si>
    <t>CONFIGURAÇÕES</t>
  </si>
  <si>
    <t>VALOR A SER INVESTIDO POR MÊS</t>
  </si>
  <si>
    <t>PERFIL</t>
  </si>
  <si>
    <t>TIPO DE FII</t>
  </si>
  <si>
    <t xml:space="preserve">Percentual Sugerido 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</si>
  <si>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</si>
  <si>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</si>
  <si>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</si>
  <si>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</si>
  <si>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</si>
  <si>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</si>
  <si>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</si>
  <si>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</si>
  <si>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</si>
  <si>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</si>
  <si>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Agressivo</t>
  </si>
  <si>
    <t>Conservador</t>
  </si>
  <si>
    <t>Moderado-TIJOLO</t>
  </si>
  <si>
    <t>Sugestão 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</si>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</sst>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4.9989318521683403E-2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9" fontId="8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8" fontId="0" fillId="2" borderId="4" xfId="0" applyNumberFormat="1" applyFill="1" applyBorder="1" applyAlignment="1">
      <alignment horizontal="center" vertical="center"/>
    </xf>
    <xf numFmtId="8" fontId="0" fillId="2" borderId="5" xfId="0" applyNumberFormat="1" applyFill="1" applyBorder="1" applyAlignment="1">
      <alignment horizontal="center" vertical="center"/>
    </xf>
    <xf numFmtId="8" fontId="0" fillId="2" borderId="7" xfId="0" applyNumberFormat="1" applyFill="1" applyBorder="1" applyAlignment="1">
      <alignment horizontal="center" vertical="center"/>
    </xf>
    <xf numFmtId="8" fontId="0" fillId="2" borderId="8" xfId="0" applyNumberFormat="1" applyFill="1" applyBorder="1" applyAlignment="1">
      <alignment horizontal="center" vertical="center"/>
    </xf>
    <xf numFmtId="9" fontId="0" fillId="0" borderId="0" xfId="0" applyNumberFormat="1"/>
    <xf numFmtId="0" fontId="4" fillId="2" borderId="3" xfId="0" applyFont="1" applyFill="1" applyBorder="1" applyAlignment="1">
      <alignment horizontal="left" vertical="top" indent="3"/>
    </xf>
    <xf numFmtId="0" fontId="4" fillId="2" borderId="6" xfId="0" applyFont="1" applyFill="1" applyBorder="1" applyAlignment="1">
      <alignment horizontal="left" vertical="top" indent="3"/>
    </xf>
    <xf numFmtId="164" fontId="1" fillId="0" borderId="12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8" fontId="1" fillId="6" borderId="15" xfId="0" applyNumberFormat="1" applyFont="1" applyFill="1" applyBorder="1" applyAlignment="1">
      <alignment horizontal="center" vertical="center"/>
    </xf>
    <xf numFmtId="8" fontId="1" fillId="6" borderId="18" xfId="0" applyNumberFormat="1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4" fillId="2" borderId="22" xfId="0" applyFont="1" applyFill="1" applyBorder="1" applyAlignment="1">
      <alignment horizontal="left" vertical="top" indent="3"/>
    </xf>
    <xf numFmtId="8" fontId="0" fillId="2" borderId="23" xfId="0" applyNumberFormat="1" applyFill="1" applyBorder="1" applyAlignment="1">
      <alignment horizontal="center" vertical="center"/>
    </xf>
    <xf numFmtId="8" fontId="0" fillId="2" borderId="24" xfId="0" applyNumberForma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0" xfId="1" applyBorder="1" applyAlignment="1">
      <alignment horizontal="left" vertical="top" indent="3"/>
    </xf>
    <xf numFmtId="0" fontId="7" fillId="4" borderId="0" xfId="1"/>
    <xf numFmtId="164" fontId="0" fillId="0" borderId="0" xfId="0" applyNumberFormat="1"/>
    <xf numFmtId="0" fontId="0" fillId="2" borderId="0" xfId="0" applyFill="1"/>
    <xf numFmtId="0" fontId="7" fillId="4" borderId="0" xfId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left" vertical="top" indent="3"/>
    </xf>
    <xf numFmtId="9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9" fillId="8" borderId="0" xfId="2" applyFont="1" applyFill="1" applyAlignment="1">
      <alignment horizontal="center" vertical="center"/>
    </xf>
    <xf numFmtId="9" fontId="7" fillId="4" borderId="0" xfId="1" applyNumberFormat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 vertical="center"/>
    </xf>
    <xf numFmtId="9" fontId="0" fillId="9" borderId="0" xfId="0" applyNumberForma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top" indent="3"/>
    </xf>
    <xf numFmtId="0" fontId="4" fillId="2" borderId="11" xfId="0" applyFont="1" applyFill="1" applyBorder="1" applyAlignment="1">
      <alignment horizontal="left" vertical="top" indent="3"/>
    </xf>
    <xf numFmtId="0" fontId="4" fillId="2" borderId="13" xfId="0" applyFont="1" applyFill="1" applyBorder="1" applyAlignment="1">
      <alignment horizontal="left" vertical="top" indent="3"/>
    </xf>
    <xf numFmtId="0" fontId="4" fillId="2" borderId="14" xfId="0" applyFont="1" applyFill="1" applyBorder="1" applyAlignment="1">
      <alignment horizontal="left" vertical="top" indent="3"/>
    </xf>
    <xf numFmtId="0" fontId="5" fillId="6" borderId="13" xfId="0" applyFont="1" applyFill="1" applyBorder="1" applyAlignment="1">
      <alignment horizontal="left" vertical="top" indent="3"/>
    </xf>
    <xf numFmtId="0" fontId="5" fillId="6" borderId="14" xfId="0" applyFont="1" applyFill="1" applyBorder="1" applyAlignment="1">
      <alignment horizontal="left" vertical="top" indent="3"/>
    </xf>
    <xf numFmtId="0" fontId="5" fillId="6" borderId="16" xfId="0" applyFont="1" applyFill="1" applyBorder="1" applyAlignment="1">
      <alignment horizontal="left" vertical="top" indent="3"/>
    </xf>
    <xf numFmtId="0" fontId="5" fillId="6" borderId="17" xfId="0" applyFont="1" applyFill="1" applyBorder="1" applyAlignment="1">
      <alignment horizontal="left" vertical="top" indent="3"/>
    </xf>
    <xf numFmtId="0" fontId="3" fillId="5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top" indent="3"/>
    </xf>
    <xf numFmtId="0" fontId="4" fillId="2" borderId="20" xfId="0" applyFont="1" applyFill="1" applyBorder="1" applyAlignment="1">
      <alignment horizontal="left" vertical="top" indent="3"/>
    </xf>
    <xf numFmtId="0" fontId="4" fillId="2" borderId="16" xfId="0" applyFont="1" applyFill="1" applyBorder="1" applyAlignment="1">
      <alignment horizontal="left" vertical="top" indent="3"/>
    </xf>
    <xf numFmtId="0" fontId="4" fillId="2" borderId="17" xfId="0" applyFont="1" applyFill="1" applyBorder="1" applyAlignment="1">
      <alignment horizontal="left" vertical="top" indent="3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3">
    <cellStyle name="Neutro" xfId="1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8B-45E8-94B4-022F71F3D8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8B-45E8-94B4-022F71F3D8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8B-45E8-94B4-022F71F3D8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8B-45E8-94B4-022F71F3D8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8B-45E8-94B4-022F71F3D8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8B-45E8-94B4-022F71F3D8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D-4658-9607-73C81190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327659</xdr:colOff>
      <xdr:row>1</xdr:row>
      <xdr:rowOff>45719</xdr:rowOff>
    </xdr:from>
    <xdr:to>
      <xdr:col>4</xdr:col>
      <xdr:colOff>45720</xdr:colOff>
      <xdr:row>9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0144AD-1DE1-4B7A-97FB-F00324F88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27659" y="228599"/>
          <a:ext cx="5692141" cy="1546861"/>
        </a:xfrm>
        <a:prstGeom prst="rect">
          <a:avLst/>
        </a:prstGeom>
      </xdr:spPr>
    </xdr:pic>
    <xdr:clientData/>
  </xdr:twoCellAnchor>
  <xdr:twoCellAnchor>
    <xdr:from>
      <xdr:col>1</xdr:col>
      <xdr:colOff>129540</xdr:colOff>
      <xdr:row>43</xdr:row>
      <xdr:rowOff>49530</xdr:rowOff>
    </xdr:from>
    <xdr:to>
      <xdr:col>3</xdr:col>
      <xdr:colOff>777240</xdr:colOff>
      <xdr:row>58</xdr:row>
      <xdr:rowOff>15240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56364B-A229-C4BD-48A9-17DABF6AF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04EF-5D4A-4F1E-BC5A-89EB14D58B15}">
  <dimension ref="A1:XFC72"/>
  <sheetViews>
    <sheetView showGridLines="0" showRowColHeaders="0" tabSelected="1" topLeftCell="A16" workbookViewId="0">
      <selection activeCell="D15" sqref="D15"/>
    </sheetView>
  </sheetViews>
  <sheetFormatPr defaultColWidth="0" defaultRowHeight="14.4" zeroHeight="1" x14ac:dyDescent="0.3"/>
  <cols>
    <col min="1" max="1" width="5.6640625" customWidth="1"/>
    <col min="2" max="2" width="42.6640625" customWidth="1"/>
    <col min="3" max="3" width="24.21875" customWidth="1"/>
    <col min="4" max="4" width="14.5546875" customWidth="1"/>
    <col min="5" max="5" width="6.21875" customWidth="1"/>
    <col min="6" max="6" width="4" hidden="1" customWidth="1"/>
    <col min="7" max="7" width="0.77734375" hidden="1" customWidth="1"/>
    <col min="8" max="11" width="8.88671875" hidden="1" customWidth="1"/>
    <col min="12" max="12" width="0" hidden="1" customWidth="1"/>
    <col min="16384" max="16384" width="2" hidden="1" customWidth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x14ac:dyDescent="0.3"/>
    <row r="10" spans="2:4" ht="15" thickBot="1" x14ac:dyDescent="0.35"/>
    <row r="11" spans="2:4" ht="30" customHeight="1" x14ac:dyDescent="0.3">
      <c r="B11" s="56" t="s">
        <v>15</v>
      </c>
      <c r="C11" s="57"/>
      <c r="D11" s="58"/>
    </row>
    <row r="12" spans="2:4" ht="21" customHeight="1" x14ac:dyDescent="0.3">
      <c r="B12" s="52" t="s">
        <v>14</v>
      </c>
      <c r="C12" s="53"/>
      <c r="D12" s="15">
        <v>3000</v>
      </c>
    </row>
    <row r="13" spans="2:4" ht="21" customHeight="1" x14ac:dyDescent="0.3">
      <c r="B13" s="45" t="s">
        <v>13</v>
      </c>
      <c r="C13" s="46"/>
      <c r="D13" s="16">
        <v>6.0000000000000001E-3</v>
      </c>
    </row>
    <row r="14" spans="2:4" ht="21" customHeight="1" thickBot="1" x14ac:dyDescent="0.35">
      <c r="B14" s="54" t="s">
        <v>33</v>
      </c>
      <c r="C14" s="55"/>
      <c r="D14" s="17">
        <f>D12*30%</f>
        <v>900</v>
      </c>
    </row>
    <row r="15" spans="2:4" x14ac:dyDescent="0.3"/>
    <row r="16" spans="2:4" x14ac:dyDescent="0.3"/>
    <row r="17" spans="1:6" ht="15" thickBot="1" x14ac:dyDescent="0.35"/>
    <row r="18" spans="1:6" ht="30" customHeight="1" x14ac:dyDescent="0.3">
      <c r="B18" s="41" t="s">
        <v>5</v>
      </c>
      <c r="C18" s="42"/>
      <c r="D18" s="51"/>
    </row>
    <row r="19" spans="1:6" ht="22.95" customHeight="1" x14ac:dyDescent="0.3">
      <c r="B19" s="43" t="s">
        <v>0</v>
      </c>
      <c r="C19" s="44"/>
      <c r="D19" s="10">
        <v>500</v>
      </c>
    </row>
    <row r="20" spans="1:6" ht="22.95" customHeight="1" x14ac:dyDescent="0.3">
      <c r="B20" s="45" t="s">
        <v>1</v>
      </c>
      <c r="C20" s="46"/>
      <c r="D20" s="11">
        <v>5</v>
      </c>
    </row>
    <row r="21" spans="1:6" ht="22.95" customHeight="1" x14ac:dyDescent="0.3">
      <c r="B21" s="45" t="s">
        <v>2</v>
      </c>
      <c r="C21" s="46"/>
      <c r="D21" s="12">
        <v>1.0789999999999999E-2</v>
      </c>
    </row>
    <row r="22" spans="1:6" ht="22.95" customHeight="1" x14ac:dyDescent="0.3">
      <c r="B22" s="47" t="s">
        <v>3</v>
      </c>
      <c r="C22" s="48"/>
      <c r="D22" s="13">
        <f>FV(taxa_mensal,qtd_anos*12,aporte*-1)</f>
        <v>41888.456999243819</v>
      </c>
      <c r="F22" s="7"/>
    </row>
    <row r="23" spans="1:6" ht="22.95" customHeight="1" thickBot="1" x14ac:dyDescent="0.35">
      <c r="B23" s="49" t="s">
        <v>4</v>
      </c>
      <c r="C23" s="50"/>
      <c r="D23" s="14">
        <f>patrimonio*rendimento_carteira</f>
        <v>251.33074199546292</v>
      </c>
    </row>
    <row r="24" spans="1:6" ht="15" thickBot="1" x14ac:dyDescent="0.35"/>
    <row r="25" spans="1:6" ht="30" customHeight="1" x14ac:dyDescent="0.3">
      <c r="B25" s="41" t="s">
        <v>11</v>
      </c>
      <c r="C25" s="42"/>
      <c r="D25" s="21" t="s">
        <v>12</v>
      </c>
    </row>
    <row r="26" spans="1:6" ht="22.95" customHeight="1" x14ac:dyDescent="0.3">
      <c r="A26" s="1">
        <v>2</v>
      </c>
      <c r="B26" s="18" t="s">
        <v>6</v>
      </c>
      <c r="C26" s="19">
        <f>FV($D$21,$A26*12,$D$19*-1)</f>
        <v>13613.813648822608</v>
      </c>
      <c r="D26" s="20">
        <f>C26*rendimento_carteira</f>
        <v>81.682881892935654</v>
      </c>
    </row>
    <row r="27" spans="1:6" ht="22.95" customHeight="1" x14ac:dyDescent="0.3">
      <c r="A27" s="1">
        <v>5</v>
      </c>
      <c r="B27" s="8" t="s">
        <v>10</v>
      </c>
      <c r="C27" s="3">
        <f>FV($D$21,$A27*12,$D$19*-1)</f>
        <v>41888.456999243819</v>
      </c>
      <c r="D27" s="4">
        <f>C27*rendimento_carteira</f>
        <v>251.33074199546292</v>
      </c>
    </row>
    <row r="28" spans="1:6" ht="22.95" customHeight="1" x14ac:dyDescent="0.3">
      <c r="A28" s="1">
        <v>10</v>
      </c>
      <c r="B28" s="8" t="s">
        <v>7</v>
      </c>
      <c r="C28" s="3">
        <f>FV($D$21,$A28*12,$D$19*-1)</f>
        <v>121642.1062650861</v>
      </c>
      <c r="D28" s="4">
        <f>C28*rendimento_carteira</f>
        <v>729.85263759051657</v>
      </c>
    </row>
    <row r="29" spans="1:6" ht="22.95" customHeight="1" x14ac:dyDescent="0.3">
      <c r="A29" s="1">
        <v>20</v>
      </c>
      <c r="B29" s="8" t="s">
        <v>8</v>
      </c>
      <c r="C29" s="3">
        <f>FV($D$21,$A29*12,$D$19*-1)</f>
        <v>562599.20004854025</v>
      </c>
      <c r="D29" s="4">
        <f>C29*rendimento_carteira</f>
        <v>3375.5952002912418</v>
      </c>
    </row>
    <row r="30" spans="1:6" ht="22.95" customHeight="1" thickBot="1" x14ac:dyDescent="0.35">
      <c r="A30" s="1">
        <v>30</v>
      </c>
      <c r="B30" s="9" t="s">
        <v>9</v>
      </c>
      <c r="C30" s="5">
        <f>FV($D$21,$A30*12,$D$19*-1)</f>
        <v>2161084.8275023573</v>
      </c>
      <c r="D30" s="6">
        <f>C30*rendimento_carteira</f>
        <v>12966.508965014144</v>
      </c>
    </row>
    <row r="31" spans="1:6" x14ac:dyDescent="0.3"/>
    <row r="32" spans="1:6" x14ac:dyDescent="0.3">
      <c r="B32" s="22" t="s">
        <v>17</v>
      </c>
      <c r="C32" s="26" t="s">
        <v>29</v>
      </c>
      <c r="D32" s="23"/>
    </row>
    <row r="33" spans="2:4" ht="15.6" x14ac:dyDescent="0.3">
      <c r="B33" s="28" t="s">
        <v>16</v>
      </c>
      <c r="C33" s="27">
        <f>aporte</f>
        <v>500</v>
      </c>
      <c r="D33" s="25"/>
    </row>
    <row r="34" spans="2:4" x14ac:dyDescent="0.3"/>
    <row r="35" spans="2:4" x14ac:dyDescent="0.3">
      <c r="B35" s="30" t="s">
        <v>18</v>
      </c>
      <c r="C35" s="30" t="s">
        <v>19</v>
      </c>
      <c r="D35" s="30" t="s">
        <v>20</v>
      </c>
    </row>
    <row r="36" spans="2:4" x14ac:dyDescent="0.3">
      <c r="B36" s="2" t="s">
        <v>21</v>
      </c>
      <c r="C36" s="29">
        <f>VLOOKUP($C$32&amp;"-"&amp;B36,Planilha2!$A:$D,4,FALSE)</f>
        <v>0.32</v>
      </c>
      <c r="D36" s="24">
        <f>C36*$C$33</f>
        <v>160</v>
      </c>
    </row>
    <row r="37" spans="2:4" x14ac:dyDescent="0.3">
      <c r="B37" s="2" t="s">
        <v>22</v>
      </c>
      <c r="C37" s="29">
        <f>VLOOKUP($C$32&amp;"-"&amp;B37,Planilha2!$A:$D,4,FALSE)</f>
        <v>0.35</v>
      </c>
      <c r="D37" s="24">
        <f t="shared" ref="D37:D41" si="0">C37*$C$33</f>
        <v>175</v>
      </c>
    </row>
    <row r="38" spans="2:4" x14ac:dyDescent="0.3">
      <c r="B38" s="2" t="s">
        <v>23</v>
      </c>
      <c r="C38" s="29">
        <f>VLOOKUP($C$32&amp;"-"&amp;B38,Planilha2!$A:$D,4,FALSE)</f>
        <v>0.08</v>
      </c>
      <c r="D38" s="24">
        <f t="shared" si="0"/>
        <v>40</v>
      </c>
    </row>
    <row r="39" spans="2:4" x14ac:dyDescent="0.3">
      <c r="B39" s="2" t="s">
        <v>24</v>
      </c>
      <c r="C39" s="29">
        <f>VLOOKUP($C$32&amp;"-"&amp;B39,Planilha2!$A:$D,4,FALSE)</f>
        <v>0.05</v>
      </c>
      <c r="D39" s="24">
        <f t="shared" si="0"/>
        <v>25</v>
      </c>
    </row>
    <row r="40" spans="2:4" x14ac:dyDescent="0.3">
      <c r="B40" s="2" t="s">
        <v>25</v>
      </c>
      <c r="C40" s="29">
        <f>VLOOKUP($C$32&amp;"-"&amp;B40,Planilha2!$A:$D,4,FALSE)</f>
        <v>0.1</v>
      </c>
      <c r="D40" s="24">
        <f t="shared" si="0"/>
        <v>50</v>
      </c>
    </row>
    <row r="41" spans="2:4" x14ac:dyDescent="0.3">
      <c r="B41" s="2" t="s">
        <v>26</v>
      </c>
      <c r="C41" s="29">
        <f>VLOOKUP($C$32&amp;"-"&amp;B41,Planilha2!$A:$D,4,FALSE)</f>
        <v>0.1</v>
      </c>
      <c r="D41" s="24">
        <f t="shared" si="0"/>
        <v>50</v>
      </c>
    </row>
    <row r="42" spans="2:4" x14ac:dyDescent="0.3">
      <c r="B42" s="30" t="s">
        <v>34</v>
      </c>
      <c r="C42" s="30"/>
      <c r="D42" s="31">
        <f>SUM(D36:D41)</f>
        <v>500</v>
      </c>
    </row>
    <row r="43" spans="2:4" x14ac:dyDescent="0.3">
      <c r="B43" s="2"/>
    </row>
    <row r="44" spans="2:4" x14ac:dyDescent="0.3">
      <c r="B44" s="2"/>
    </row>
    <row r="45" spans="2:4" x14ac:dyDescent="0.3">
      <c r="B45" s="2"/>
    </row>
    <row r="46" spans="2:4" x14ac:dyDescent="0.3">
      <c r="B46" s="2"/>
    </row>
    <row r="47" spans="2:4" x14ac:dyDescent="0.3">
      <c r="B47" s="2"/>
    </row>
    <row r="48" spans="2:4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hidden="1" x14ac:dyDescent="0.3">
      <c r="B62" s="2"/>
    </row>
    <row r="63" spans="2:2" hidden="1" x14ac:dyDescent="0.3">
      <c r="B63" s="2"/>
    </row>
    <row r="64" spans="2:2" hidden="1" x14ac:dyDescent="0.3">
      <c r="B64" s="2"/>
    </row>
    <row r="65" spans="2:4" hidden="1" x14ac:dyDescent="0.3">
      <c r="B65" s="2"/>
    </row>
    <row r="66" spans="2:4" hidden="1" x14ac:dyDescent="0.3">
      <c r="B66" s="2"/>
    </row>
    <row r="67" spans="2:4" hidden="1" x14ac:dyDescent="0.3">
      <c r="B67" s="2"/>
    </row>
    <row r="68" spans="2:4" hidden="1" x14ac:dyDescent="0.3">
      <c r="B68" s="2"/>
    </row>
    <row r="69" spans="2:4" hidden="1" x14ac:dyDescent="0.3">
      <c r="B69" s="2"/>
    </row>
    <row r="70" spans="2:4" hidden="1" x14ac:dyDescent="0.3">
      <c r="B70" s="2"/>
    </row>
    <row r="72" spans="2:4" hidden="1" x14ac:dyDescent="0.3">
      <c r="B72" s="2"/>
      <c r="C72" s="2"/>
      <c r="D72" s="2"/>
    </row>
  </sheetData>
  <mergeCells count="11">
    <mergeCell ref="B18:D18"/>
    <mergeCell ref="B12:C12"/>
    <mergeCell ref="B13:C13"/>
    <mergeCell ref="B14:C14"/>
    <mergeCell ref="B11:D11"/>
    <mergeCell ref="B25:C25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C32" xr:uid="{6EBBD24D-BEA3-4724-8442-01C216CDE8B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E818-09B5-4B4A-B055-60CF5E7FA2BD}">
  <dimension ref="A2:H20"/>
  <sheetViews>
    <sheetView workbookViewId="0">
      <selection activeCell="G11" sqref="G11"/>
    </sheetView>
  </sheetViews>
  <sheetFormatPr defaultRowHeight="14.4" x14ac:dyDescent="0.3"/>
  <cols>
    <col min="1" max="1" width="28.6640625" bestFit="1" customWidth="1"/>
    <col min="2" max="2" width="12.5546875" customWidth="1"/>
    <col min="3" max="3" width="17.6640625" bestFit="1" customWidth="1"/>
    <col min="7" max="7" width="15.44140625" bestFit="1" customWidth="1"/>
    <col min="8" max="8" width="11.5546875" customWidth="1"/>
  </cols>
  <sheetData>
    <row r="2" spans="1:8" x14ac:dyDescent="0.3">
      <c r="A2" s="34" t="s">
        <v>28</v>
      </c>
      <c r="B2" s="34" t="s">
        <v>17</v>
      </c>
      <c r="C2" s="34" t="s">
        <v>18</v>
      </c>
      <c r="D2" s="34" t="s">
        <v>27</v>
      </c>
    </row>
    <row r="3" spans="1:8" x14ac:dyDescent="0.3">
      <c r="A3" t="str">
        <f>B3&amp;"-"&amp;C3</f>
        <v>Conservador-PAPEL</v>
      </c>
      <c r="B3" t="s">
        <v>31</v>
      </c>
      <c r="C3" s="2" t="s">
        <v>21</v>
      </c>
      <c r="D3" s="29">
        <v>0.3</v>
      </c>
      <c r="G3" s="34" t="s">
        <v>28</v>
      </c>
      <c r="H3" s="36" t="s">
        <v>27</v>
      </c>
    </row>
    <row r="4" spans="1:8" x14ac:dyDescent="0.3">
      <c r="A4" t="str">
        <f t="shared" ref="A4:A20" si="0">B4&amp;"-"&amp;C4</f>
        <v>Conservador-TIJOLO</v>
      </c>
      <c r="B4" t="s">
        <v>31</v>
      </c>
      <c r="C4" s="2" t="s">
        <v>22</v>
      </c>
      <c r="D4" s="29">
        <v>0.5</v>
      </c>
      <c r="G4" s="26" t="s">
        <v>32</v>
      </c>
      <c r="H4" s="37">
        <f>VLOOKUP(G4,A:D,4,FALSE)</f>
        <v>0.35</v>
      </c>
    </row>
    <row r="5" spans="1:8" x14ac:dyDescent="0.3">
      <c r="A5" t="str">
        <f t="shared" si="0"/>
        <v>Conservador-HÍBRIDOS</v>
      </c>
      <c r="B5" t="s">
        <v>31</v>
      </c>
      <c r="C5" s="2" t="s">
        <v>23</v>
      </c>
      <c r="D5" s="29">
        <v>0.1</v>
      </c>
    </row>
    <row r="6" spans="1:8" x14ac:dyDescent="0.3">
      <c r="A6" t="str">
        <f t="shared" si="0"/>
        <v>Conservador-FOFs</v>
      </c>
      <c r="B6" t="s">
        <v>31</v>
      </c>
      <c r="C6" s="2" t="s">
        <v>24</v>
      </c>
      <c r="D6" s="29">
        <v>0.1</v>
      </c>
    </row>
    <row r="7" spans="1:8" x14ac:dyDescent="0.3">
      <c r="A7" t="str">
        <f t="shared" si="0"/>
        <v>Conservador-DESENVOLVIMENTO</v>
      </c>
      <c r="B7" t="s">
        <v>31</v>
      </c>
      <c r="C7" s="2" t="s">
        <v>25</v>
      </c>
      <c r="D7" s="29">
        <v>0</v>
      </c>
    </row>
    <row r="8" spans="1:8" x14ac:dyDescent="0.3">
      <c r="A8" s="32" t="str">
        <f t="shared" si="0"/>
        <v>Conservador-HOTELARIAS</v>
      </c>
      <c r="B8" s="32" t="s">
        <v>31</v>
      </c>
      <c r="C8" s="33" t="s">
        <v>26</v>
      </c>
      <c r="D8" s="35">
        <v>0</v>
      </c>
    </row>
    <row r="9" spans="1:8" x14ac:dyDescent="0.3">
      <c r="A9" t="str">
        <f t="shared" si="0"/>
        <v>Moderado-PAPEL</v>
      </c>
      <c r="B9" t="s">
        <v>29</v>
      </c>
      <c r="C9" s="2" t="s">
        <v>21</v>
      </c>
      <c r="D9" s="29">
        <v>0.32</v>
      </c>
    </row>
    <row r="10" spans="1:8" x14ac:dyDescent="0.3">
      <c r="A10" s="38" t="str">
        <f t="shared" si="0"/>
        <v>Moderado-TIJOLO</v>
      </c>
      <c r="B10" s="38" t="s">
        <v>29</v>
      </c>
      <c r="C10" s="39" t="s">
        <v>22</v>
      </c>
      <c r="D10" s="40">
        <v>0.35</v>
      </c>
    </row>
    <row r="11" spans="1:8" x14ac:dyDescent="0.3">
      <c r="A11" t="str">
        <f t="shared" si="0"/>
        <v>Moderado-HÍBRIDOS</v>
      </c>
      <c r="B11" t="s">
        <v>29</v>
      </c>
      <c r="C11" s="2" t="s">
        <v>23</v>
      </c>
      <c r="D11" s="29">
        <v>0.08</v>
      </c>
    </row>
    <row r="12" spans="1:8" x14ac:dyDescent="0.3">
      <c r="A12" t="str">
        <f t="shared" si="0"/>
        <v>Moderado-FOFs</v>
      </c>
      <c r="B12" t="s">
        <v>29</v>
      </c>
      <c r="C12" s="2" t="s">
        <v>24</v>
      </c>
      <c r="D12" s="29">
        <v>0.05</v>
      </c>
    </row>
    <row r="13" spans="1:8" x14ac:dyDescent="0.3">
      <c r="A13" t="str">
        <f t="shared" si="0"/>
        <v>Moderado-DESENVOLVIMENTO</v>
      </c>
      <c r="B13" t="s">
        <v>29</v>
      </c>
      <c r="C13" s="2" t="s">
        <v>25</v>
      </c>
      <c r="D13" s="29">
        <v>0.1</v>
      </c>
    </row>
    <row r="14" spans="1:8" x14ac:dyDescent="0.3">
      <c r="A14" s="32" t="str">
        <f t="shared" si="0"/>
        <v>Moderado-HOTELARIAS</v>
      </c>
      <c r="B14" s="32" t="s">
        <v>29</v>
      </c>
      <c r="C14" s="33" t="s">
        <v>26</v>
      </c>
      <c r="D14" s="35">
        <v>0.1</v>
      </c>
    </row>
    <row r="15" spans="1:8" x14ac:dyDescent="0.3">
      <c r="A15" t="str">
        <f t="shared" si="0"/>
        <v>Agressivo-PAPEL</v>
      </c>
      <c r="B15" t="s">
        <v>30</v>
      </c>
      <c r="C15" s="2" t="s">
        <v>21</v>
      </c>
      <c r="D15" s="29">
        <v>0.5</v>
      </c>
    </row>
    <row r="16" spans="1:8" x14ac:dyDescent="0.3">
      <c r="A16" t="str">
        <f t="shared" si="0"/>
        <v>Agressivo-TIJOLO</v>
      </c>
      <c r="B16" t="s">
        <v>30</v>
      </c>
      <c r="C16" s="2" t="s">
        <v>22</v>
      </c>
      <c r="D16" s="29">
        <v>0.1</v>
      </c>
    </row>
    <row r="17" spans="1:4" x14ac:dyDescent="0.3">
      <c r="A17" t="str">
        <f t="shared" si="0"/>
        <v>Agressivo-HÍBRIDOS</v>
      </c>
      <c r="B17" t="s">
        <v>30</v>
      </c>
      <c r="C17" s="2" t="s">
        <v>23</v>
      </c>
      <c r="D17" s="29">
        <v>0.05</v>
      </c>
    </row>
    <row r="18" spans="1:4" x14ac:dyDescent="0.3">
      <c r="A18" t="str">
        <f t="shared" si="0"/>
        <v>Agressivo-FOFs</v>
      </c>
      <c r="B18" t="s">
        <v>30</v>
      </c>
      <c r="C18" s="2" t="s">
        <v>24</v>
      </c>
      <c r="D18" s="29">
        <v>0.05</v>
      </c>
    </row>
    <row r="19" spans="1:4" x14ac:dyDescent="0.3">
      <c r="A19" t="str">
        <f t="shared" si="0"/>
        <v>Agressivo-DESENVOLVIMENTO</v>
      </c>
      <c r="B19" t="s">
        <v>30</v>
      </c>
      <c r="C19" s="2" t="s">
        <v>25</v>
      </c>
      <c r="D19" s="29">
        <v>0.2</v>
      </c>
    </row>
    <row r="20" spans="1:4" x14ac:dyDescent="0.3">
      <c r="A20" t="str">
        <f t="shared" si="0"/>
        <v>Agressivo-HOTELARIAS</v>
      </c>
      <c r="B20" t="s">
        <v>30</v>
      </c>
      <c r="C20" s="33" t="s">
        <v>26</v>
      </c>
      <c r="D20" s="29">
        <v>0.1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A0D640-2007-4A8E-B978-59AE82FCC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Esteves</dc:creator>
  <cp:lastModifiedBy>Fox</cp:lastModifiedBy>
  <dcterms:created xsi:type="dcterms:W3CDTF">2025-05-26T21:16:57Z</dcterms:created>
  <dcterms:modified xsi:type="dcterms:W3CDTF">2026-09-15T00:26:50Z</dcterms:modified>
</cp:coreProperties>
</file>